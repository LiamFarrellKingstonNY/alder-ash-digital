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ojections" sheetId="1" state="visible" r:id="rId1"/>
    <sheet name="Annual Summary" sheetId="2" state="visible" r:id="rId2"/>
    <sheet name="Pricing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$#,##0;($#,##0);&quot;-&quot;"/>
    <numFmt numFmtId="166" formatCode="0.0%;-0.0%;&quot;-&quot;"/>
    <numFmt numFmtId="167" formatCode="+0.0%;-0.0%;-"/>
    <numFmt numFmtId="168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i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88888"/>
      <sz val="8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254D3B"/>
        <bgColor rgb="00254D3B"/>
      </patternFill>
    </fill>
    <fill>
      <patternFill patternType="solid">
        <fgColor rgb="00FFFFFF"/>
        <bgColor rgb="00FFFFFF"/>
      </patternFill>
    </fill>
    <fill>
      <patternFill patternType="solid">
        <fgColor rgb="00C4892A"/>
        <bgColor rgb="00C4892A"/>
      </patternFill>
    </fill>
    <fill>
      <patternFill patternType="solid">
        <fgColor rgb="00F7F2E8"/>
        <bgColor rgb="00F7F2E8"/>
      </patternFill>
    </fill>
    <fill>
      <patternFill patternType="solid">
        <fgColor rgb="00EAF4FF"/>
        <bgColor rgb="00EAF4FF"/>
      </patternFill>
    </fill>
    <fill>
      <patternFill patternType="solid">
        <fgColor rgb="00D6E8DF"/>
        <bgColor rgb="00D6E8D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5" fontId="7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0" fillId="2" borderId="0" pivotButton="0" quotePrefix="0" xfId="0"/>
    <xf numFmtId="165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0" fontId="0" fillId="4" borderId="0" pivotButton="0" quotePrefix="0" xfId="0"/>
    <xf numFmtId="0" fontId="10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8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ALDER &amp; ASH DIGITAL — Year 1 Monthly Projections (2026)</t>
        </is>
      </c>
    </row>
    <row r="2">
      <c r="A2" s="2" t="inlineStr"/>
    </row>
    <row r="3" ht="20" customHeight="1">
      <c r="A3" s="3" t="inlineStr">
        <is>
          <t>Metric</t>
        </is>
      </c>
      <c r="B3" s="4" t="inlineStr">
        <is>
          <t>Jan-26</t>
        </is>
      </c>
      <c r="C3" s="4" t="inlineStr">
        <is>
          <t>Feb-26</t>
        </is>
      </c>
      <c r="D3" s="4" t="inlineStr">
        <is>
          <t>Mar-26</t>
        </is>
      </c>
      <c r="E3" s="4" t="inlineStr">
        <is>
          <t>Apr-26</t>
        </is>
      </c>
      <c r="F3" s="4" t="inlineStr">
        <is>
          <t>May-26</t>
        </is>
      </c>
      <c r="G3" s="4" t="inlineStr">
        <is>
          <t>Jun-26</t>
        </is>
      </c>
      <c r="H3" s="4" t="inlineStr">
        <is>
          <t>Jul-26</t>
        </is>
      </c>
      <c r="I3" s="4" t="inlineStr">
        <is>
          <t>Aug-26</t>
        </is>
      </c>
      <c r="J3" s="4" t="inlineStr">
        <is>
          <t>Sep-26</t>
        </is>
      </c>
      <c r="K3" s="4" t="inlineStr">
        <is>
          <t>Oct-26</t>
        </is>
      </c>
      <c r="L3" s="4" t="inlineStr">
        <is>
          <t>Nov-26</t>
        </is>
      </c>
      <c r="M3" s="4" t="inlineStr">
        <is>
          <t>Dec-26</t>
        </is>
      </c>
      <c r="N3" s="5" t="inlineStr">
        <is>
          <t>FY 2026</t>
        </is>
      </c>
    </row>
    <row r="4" ht="18" customHeight="1">
      <c r="A4" s="6" t="inlineStr">
        <is>
          <t>── REVENUE ──</t>
        </is>
      </c>
    </row>
    <row r="5" ht="18" customHeight="1">
      <c r="A5" s="7" t="inlineStr">
        <is>
          <t>Website Projects Closed</t>
        </is>
      </c>
      <c r="B5" s="8" t="n">
        <v>1</v>
      </c>
      <c r="C5" s="8" t="n">
        <v>1</v>
      </c>
      <c r="D5" s="8" t="n">
        <v>1</v>
      </c>
      <c r="E5" s="8" t="n">
        <v>2</v>
      </c>
      <c r="F5" s="8" t="n">
        <v>2</v>
      </c>
      <c r="G5" s="8" t="n">
        <v>3</v>
      </c>
      <c r="H5" s="8" t="n">
        <v>3</v>
      </c>
      <c r="I5" s="8" t="n">
        <v>3</v>
      </c>
      <c r="J5" s="8" t="n">
        <v>3</v>
      </c>
      <c r="K5" s="8" t="n">
        <v>3</v>
      </c>
      <c r="L5" s="8" t="n">
        <v>3</v>
      </c>
      <c r="M5" s="8" t="n">
        <v>3</v>
      </c>
      <c r="N5" s="9">
        <f>SUM(B5:M5)</f>
        <v/>
      </c>
    </row>
    <row r="6" ht="18" customHeight="1">
      <c r="A6" s="10" t="inlineStr">
        <is>
          <t>Avg Project Value ($)</t>
        </is>
      </c>
      <c r="B6" s="11" t="n">
        <v>3500</v>
      </c>
      <c r="C6" s="11" t="n">
        <v>3500</v>
      </c>
      <c r="D6" s="11" t="n">
        <v>3500</v>
      </c>
      <c r="E6" s="11" t="n">
        <v>3500</v>
      </c>
      <c r="F6" s="11" t="n">
        <v>3500</v>
      </c>
      <c r="G6" s="11" t="n">
        <v>3500</v>
      </c>
      <c r="H6" s="11" t="n">
        <v>3500</v>
      </c>
      <c r="I6" s="11" t="n">
        <v>3500</v>
      </c>
      <c r="J6" s="11" t="n">
        <v>3500</v>
      </c>
      <c r="K6" s="11" t="n">
        <v>3500</v>
      </c>
      <c r="L6" s="11" t="n">
        <v>3500</v>
      </c>
      <c r="M6" s="11" t="n">
        <v>3500</v>
      </c>
      <c r="N6" s="12">
        <f>AVERAGE(B6:M6)</f>
        <v/>
      </c>
    </row>
    <row r="7" ht="18" customHeight="1">
      <c r="A7" s="7" t="inlineStr">
        <is>
          <t>Project Revenue</t>
        </is>
      </c>
      <c r="B7" s="13">
        <f>B5*B6</f>
        <v/>
      </c>
      <c r="C7" s="13">
        <f>C5*C6</f>
        <v/>
      </c>
      <c r="D7" s="13">
        <f>D5*D6</f>
        <v/>
      </c>
      <c r="E7" s="13">
        <f>E5*E6</f>
        <v/>
      </c>
      <c r="F7" s="13">
        <f>F5*F6</f>
        <v/>
      </c>
      <c r="G7" s="13">
        <f>G5*G6</f>
        <v/>
      </c>
      <c r="H7" s="13">
        <f>H5*H6</f>
        <v/>
      </c>
      <c r="I7" s="13">
        <f>I5*I6</f>
        <v/>
      </c>
      <c r="J7" s="13">
        <f>J5*J6</f>
        <v/>
      </c>
      <c r="K7" s="13">
        <f>K5*K6</f>
        <v/>
      </c>
      <c r="L7" s="13">
        <f>L5*L6</f>
        <v/>
      </c>
      <c r="M7" s="13">
        <f>M5*M6</f>
        <v/>
      </c>
      <c r="N7" s="12">
        <f>SUM(B7:M7)</f>
        <v/>
      </c>
    </row>
    <row r="8" ht="18" customHeight="1">
      <c r="A8" s="10" t="inlineStr">
        <is>
          <t>New Retainer Clients</t>
        </is>
      </c>
      <c r="B8" s="14">
        <f>B5</f>
        <v/>
      </c>
      <c r="C8" s="14">
        <f>C5</f>
        <v/>
      </c>
      <c r="D8" s="14">
        <f>D5</f>
        <v/>
      </c>
      <c r="E8" s="14">
        <f>E5</f>
        <v/>
      </c>
      <c r="F8" s="14">
        <f>F5</f>
        <v/>
      </c>
      <c r="G8" s="14">
        <f>G5</f>
        <v/>
      </c>
      <c r="H8" s="14">
        <f>H5</f>
        <v/>
      </c>
      <c r="I8" s="14">
        <f>I5</f>
        <v/>
      </c>
      <c r="J8" s="14">
        <f>J5</f>
        <v/>
      </c>
      <c r="K8" s="14">
        <f>K5</f>
        <v/>
      </c>
      <c r="L8" s="14">
        <f>L5</f>
        <v/>
      </c>
      <c r="M8" s="14">
        <f>M5</f>
        <v/>
      </c>
      <c r="N8" s="9">
        <f>SUM(B8:M8)</f>
        <v/>
      </c>
    </row>
    <row r="9" ht="18" customHeight="1">
      <c r="A9" s="7" t="inlineStr">
        <is>
          <t>Cumulative Retainers</t>
        </is>
      </c>
      <c r="B9" s="15">
        <f>B8</f>
        <v/>
      </c>
      <c r="C9" s="15">
        <f>B9+C8</f>
        <v/>
      </c>
      <c r="D9" s="15">
        <f>C9+D8</f>
        <v/>
      </c>
      <c r="E9" s="15">
        <f>D9+E8</f>
        <v/>
      </c>
      <c r="F9" s="15">
        <f>E9+F8</f>
        <v/>
      </c>
      <c r="G9" s="15">
        <f>F9+G8</f>
        <v/>
      </c>
      <c r="H9" s="15">
        <f>G9+H8</f>
        <v/>
      </c>
      <c r="I9" s="15">
        <f>H9+I8</f>
        <v/>
      </c>
      <c r="J9" s="15">
        <f>I9+J8</f>
        <v/>
      </c>
      <c r="K9" s="15">
        <f>J9+K8</f>
        <v/>
      </c>
      <c r="L9" s="15">
        <f>K9+L8</f>
        <v/>
      </c>
      <c r="M9" s="15">
        <f>L9+M8</f>
        <v/>
      </c>
      <c r="N9" s="9">
        <f>M9</f>
        <v/>
      </c>
    </row>
    <row r="10" ht="18" customHeight="1">
      <c r="A10" s="10" t="inlineStr">
        <is>
          <t>Retainer Rate ($/mo)</t>
        </is>
      </c>
      <c r="B10" s="11" t="n">
        <v>250</v>
      </c>
      <c r="C10" s="11" t="n">
        <v>250</v>
      </c>
      <c r="D10" s="11" t="n">
        <v>250</v>
      </c>
      <c r="E10" s="11" t="n">
        <v>250</v>
      </c>
      <c r="F10" s="11" t="n">
        <v>250</v>
      </c>
      <c r="G10" s="11" t="n">
        <v>250</v>
      </c>
      <c r="H10" s="11" t="n">
        <v>250</v>
      </c>
      <c r="I10" s="11" t="n">
        <v>250</v>
      </c>
      <c r="J10" s="11" t="n">
        <v>250</v>
      </c>
      <c r="K10" s="11" t="n">
        <v>250</v>
      </c>
      <c r="L10" s="11" t="n">
        <v>250</v>
      </c>
      <c r="M10" s="11" t="n">
        <v>250</v>
      </c>
      <c r="N10" s="12">
        <f>AVERAGE(B10:M10)</f>
        <v/>
      </c>
    </row>
    <row r="11" ht="18" customHeight="1">
      <c r="A11" s="7" t="inlineStr">
        <is>
          <t>Retainer Revenue</t>
        </is>
      </c>
      <c r="B11" s="13">
        <f>B9*B10</f>
        <v/>
      </c>
      <c r="C11" s="13">
        <f>C9*C10</f>
        <v/>
      </c>
      <c r="D11" s="13">
        <f>D9*D10</f>
        <v/>
      </c>
      <c r="E11" s="13">
        <f>E9*E10</f>
        <v/>
      </c>
      <c r="F11" s="13">
        <f>F9*F10</f>
        <v/>
      </c>
      <c r="G11" s="13">
        <f>G9*G10</f>
        <v/>
      </c>
      <c r="H11" s="13">
        <f>H9*H10</f>
        <v/>
      </c>
      <c r="I11" s="13">
        <f>I9*I10</f>
        <v/>
      </c>
      <c r="J11" s="13">
        <f>J9*J10</f>
        <v/>
      </c>
      <c r="K11" s="13">
        <f>K9*K10</f>
        <v/>
      </c>
      <c r="L11" s="13">
        <f>L9*L10</f>
        <v/>
      </c>
      <c r="M11" s="13">
        <f>M9*M10</f>
        <v/>
      </c>
      <c r="N11" s="12">
        <f>SUM(B11:M11)</f>
        <v/>
      </c>
    </row>
    <row r="12" ht="18" customHeight="1">
      <c r="A12" s="10" t="inlineStr">
        <is>
          <t>Add-On Revenue (30%)</t>
        </is>
      </c>
      <c r="B12" s="16">
        <f>B7*0.3</f>
        <v/>
      </c>
      <c r="C12" s="16">
        <f>C7*0.3</f>
        <v/>
      </c>
      <c r="D12" s="16">
        <f>D7*0.3</f>
        <v/>
      </c>
      <c r="E12" s="16">
        <f>E7*0.3</f>
        <v/>
      </c>
      <c r="F12" s="16">
        <f>F7*0.3</f>
        <v/>
      </c>
      <c r="G12" s="16">
        <f>G7*0.3</f>
        <v/>
      </c>
      <c r="H12" s="16">
        <f>H7*0.3</f>
        <v/>
      </c>
      <c r="I12" s="16">
        <f>I7*0.3</f>
        <v/>
      </c>
      <c r="J12" s="16">
        <f>J7*0.3</f>
        <v/>
      </c>
      <c r="K12" s="16">
        <f>K7*0.3</f>
        <v/>
      </c>
      <c r="L12" s="16">
        <f>L7*0.3</f>
        <v/>
      </c>
      <c r="M12" s="16">
        <f>M7*0.3</f>
        <v/>
      </c>
      <c r="N12" s="12">
        <f>SUM(B12:M12)</f>
        <v/>
      </c>
    </row>
    <row r="13" ht="18" customHeight="1">
      <c r="A13" s="17" t="inlineStr">
        <is>
          <t>TOTAL MONTHLY REVENUE</t>
        </is>
      </c>
      <c r="B13" s="12">
        <f>B7+B11+B12</f>
        <v/>
      </c>
      <c r="C13" s="12">
        <f>C7+C11+C12</f>
        <v/>
      </c>
      <c r="D13" s="12">
        <f>D7+D11+D12</f>
        <v/>
      </c>
      <c r="E13" s="12">
        <f>E7+E11+E12</f>
        <v/>
      </c>
      <c r="F13" s="12">
        <f>F7+F11+F12</f>
        <v/>
      </c>
      <c r="G13" s="12">
        <f>G7+G11+G12</f>
        <v/>
      </c>
      <c r="H13" s="12">
        <f>H7+H11+H12</f>
        <v/>
      </c>
      <c r="I13" s="12">
        <f>I7+I11+I12</f>
        <v/>
      </c>
      <c r="J13" s="12">
        <f>J7+J11+J12</f>
        <v/>
      </c>
      <c r="K13" s="12">
        <f>K7+K11+K12</f>
        <v/>
      </c>
      <c r="L13" s="12">
        <f>L7+L11+L12</f>
        <v/>
      </c>
      <c r="M13" s="12">
        <f>M7+M11+M12</f>
        <v/>
      </c>
      <c r="N13" s="12">
        <f>SUM(B13:M13)</f>
        <v/>
      </c>
    </row>
    <row r="14" ht="18" customHeight="1">
      <c r="A14" s="6" t="inlineStr">
        <is>
          <t>── EXPENSES ──</t>
        </is>
      </c>
    </row>
    <row r="15" ht="18" customHeight="1">
      <c r="A15" s="7" t="inlineStr">
        <is>
          <t>Software &amp; Tools</t>
        </is>
      </c>
      <c r="B15" s="18" t="n">
        <v>200</v>
      </c>
      <c r="C15" s="18" t="n">
        <v>200</v>
      </c>
      <c r="D15" s="18" t="n">
        <v>200</v>
      </c>
      <c r="E15" s="18" t="n">
        <v>200</v>
      </c>
      <c r="F15" s="18" t="n">
        <v>200</v>
      </c>
      <c r="G15" s="18" t="n">
        <v>200</v>
      </c>
      <c r="H15" s="18" t="n">
        <v>200</v>
      </c>
      <c r="I15" s="18" t="n">
        <v>200</v>
      </c>
      <c r="J15" s="18" t="n">
        <v>200</v>
      </c>
      <c r="K15" s="18" t="n">
        <v>200</v>
      </c>
      <c r="L15" s="18" t="n">
        <v>200</v>
      </c>
      <c r="M15" s="18" t="n">
        <v>200</v>
      </c>
      <c r="N15" s="12">
        <f>SUM(B15:M15)</f>
        <v/>
      </c>
    </row>
    <row r="16" ht="18" customHeight="1">
      <c r="A16" s="10" t="inlineStr">
        <is>
          <t>Marketing</t>
        </is>
      </c>
      <c r="B16" s="11" t="n">
        <v>300</v>
      </c>
      <c r="C16" s="11" t="n">
        <v>300</v>
      </c>
      <c r="D16" s="11" t="n">
        <v>300</v>
      </c>
      <c r="E16" s="11" t="n">
        <v>300</v>
      </c>
      <c r="F16" s="11" t="n">
        <v>300</v>
      </c>
      <c r="G16" s="11" t="n">
        <v>300</v>
      </c>
      <c r="H16" s="11" t="n">
        <v>300</v>
      </c>
      <c r="I16" s="11" t="n">
        <v>300</v>
      </c>
      <c r="J16" s="11" t="n">
        <v>300</v>
      </c>
      <c r="K16" s="11" t="n">
        <v>300</v>
      </c>
      <c r="L16" s="11" t="n">
        <v>300</v>
      </c>
      <c r="M16" s="11" t="n">
        <v>300</v>
      </c>
      <c r="N16" s="12">
        <f>SUM(B16:M16)</f>
        <v/>
      </c>
    </row>
    <row r="17" ht="18" customHeight="1">
      <c r="A17" s="7" t="inlineStr">
        <is>
          <t>Insurance</t>
        </is>
      </c>
      <c r="B17" s="18" t="n">
        <v>100</v>
      </c>
      <c r="C17" s="18" t="n">
        <v>100</v>
      </c>
      <c r="D17" s="18" t="n">
        <v>100</v>
      </c>
      <c r="E17" s="18" t="n">
        <v>100</v>
      </c>
      <c r="F17" s="18" t="n">
        <v>100</v>
      </c>
      <c r="G17" s="18" t="n">
        <v>100</v>
      </c>
      <c r="H17" s="18" t="n">
        <v>100</v>
      </c>
      <c r="I17" s="18" t="n">
        <v>100</v>
      </c>
      <c r="J17" s="18" t="n">
        <v>100</v>
      </c>
      <c r="K17" s="18" t="n">
        <v>100</v>
      </c>
      <c r="L17" s="18" t="n">
        <v>100</v>
      </c>
      <c r="M17" s="18" t="n">
        <v>100</v>
      </c>
      <c r="N17" s="12">
        <f>SUM(B17:M17)</f>
        <v/>
      </c>
    </row>
    <row r="18" ht="18" customHeight="1">
      <c r="A18" s="10" t="inlineStr">
        <is>
          <t>Miscellaneous</t>
        </is>
      </c>
      <c r="B18" s="11" t="n">
        <v>150</v>
      </c>
      <c r="C18" s="11" t="n">
        <v>150</v>
      </c>
      <c r="D18" s="11" t="n">
        <v>150</v>
      </c>
      <c r="E18" s="11" t="n">
        <v>150</v>
      </c>
      <c r="F18" s="11" t="n">
        <v>150</v>
      </c>
      <c r="G18" s="11" t="n">
        <v>150</v>
      </c>
      <c r="H18" s="11" t="n">
        <v>150</v>
      </c>
      <c r="I18" s="11" t="n">
        <v>150</v>
      </c>
      <c r="J18" s="11" t="n">
        <v>150</v>
      </c>
      <c r="K18" s="11" t="n">
        <v>150</v>
      </c>
      <c r="L18" s="11" t="n">
        <v>150</v>
      </c>
      <c r="M18" s="11" t="n">
        <v>150</v>
      </c>
      <c r="N18" s="12">
        <f>SUM(B18:M18)</f>
        <v/>
      </c>
    </row>
    <row r="19" ht="18" customHeight="1">
      <c r="A19" s="17" t="inlineStr">
        <is>
          <t>TOTAL EXPENSES</t>
        </is>
      </c>
      <c r="B19" s="12">
        <f>SUM(B15:B18)</f>
        <v/>
      </c>
      <c r="C19" s="12">
        <f>SUM(C15:C18)</f>
        <v/>
      </c>
      <c r="D19" s="12">
        <f>SUM(D15:D18)</f>
        <v/>
      </c>
      <c r="E19" s="12">
        <f>SUM(E15:E18)</f>
        <v/>
      </c>
      <c r="F19" s="12">
        <f>SUM(F15:F18)</f>
        <v/>
      </c>
      <c r="G19" s="12">
        <f>SUM(G15:G18)</f>
        <v/>
      </c>
      <c r="H19" s="12">
        <f>SUM(H15:H18)</f>
        <v/>
      </c>
      <c r="I19" s="12">
        <f>SUM(I15:I18)</f>
        <v/>
      </c>
      <c r="J19" s="12">
        <f>SUM(J15:J18)</f>
        <v/>
      </c>
      <c r="K19" s="12">
        <f>SUM(K15:K18)</f>
        <v/>
      </c>
      <c r="L19" s="12">
        <f>SUM(L15:L18)</f>
        <v/>
      </c>
      <c r="M19" s="12">
        <f>SUM(M15:M18)</f>
        <v/>
      </c>
      <c r="N19" s="12">
        <f>SUM(B19:M19)</f>
        <v/>
      </c>
    </row>
    <row r="20" ht="18" customHeight="1">
      <c r="A20" s="6" t="inlineStr">
        <is>
          <t>── PROFIT ──</t>
        </is>
      </c>
    </row>
    <row r="21" ht="18" customHeight="1">
      <c r="A21" s="17" t="inlineStr">
        <is>
          <t>NET PROFIT</t>
        </is>
      </c>
      <c r="B21" s="12">
        <f>B13-B19</f>
        <v/>
      </c>
      <c r="C21" s="12">
        <f>C13-C19</f>
        <v/>
      </c>
      <c r="D21" s="12">
        <f>D13-D19</f>
        <v/>
      </c>
      <c r="E21" s="12">
        <f>E13-E19</f>
        <v/>
      </c>
      <c r="F21" s="12">
        <f>F13-F19</f>
        <v/>
      </c>
      <c r="G21" s="12">
        <f>G13-G19</f>
        <v/>
      </c>
      <c r="H21" s="12">
        <f>H13-H19</f>
        <v/>
      </c>
      <c r="I21" s="12">
        <f>I13-I19</f>
        <v/>
      </c>
      <c r="J21" s="12">
        <f>J13-J19</f>
        <v/>
      </c>
      <c r="K21" s="12">
        <f>K13-K19</f>
        <v/>
      </c>
      <c r="L21" s="12">
        <f>L13-L19</f>
        <v/>
      </c>
      <c r="M21" s="12">
        <f>M13-M19</f>
        <v/>
      </c>
      <c r="N21" s="12">
        <f>SUM(B21:M21)</f>
        <v/>
      </c>
    </row>
    <row r="22" ht="18" customHeight="1">
      <c r="A22" s="17" t="inlineStr">
        <is>
          <t>CUMULATIVE REVENUE</t>
        </is>
      </c>
      <c r="B22" s="12">
        <f>B13</f>
        <v/>
      </c>
      <c r="C22" s="12">
        <f>B22+C13</f>
        <v/>
      </c>
      <c r="D22" s="12">
        <f>C22+D13</f>
        <v/>
      </c>
      <c r="E22" s="12">
        <f>D22+E13</f>
        <v/>
      </c>
      <c r="F22" s="12">
        <f>E22+F13</f>
        <v/>
      </c>
      <c r="G22" s="12">
        <f>F22+G13</f>
        <v/>
      </c>
      <c r="H22" s="12">
        <f>G22+H13</f>
        <v/>
      </c>
      <c r="I22" s="12">
        <f>H22+I13</f>
        <v/>
      </c>
      <c r="J22" s="12">
        <f>I22+J13</f>
        <v/>
      </c>
      <c r="K22" s="12">
        <f>J22+K13</f>
        <v/>
      </c>
      <c r="L22" s="12">
        <f>K22+L13</f>
        <v/>
      </c>
      <c r="M22" s="12">
        <f>L22+M13</f>
        <v/>
      </c>
      <c r="N22" s="12">
        <f>M22</f>
        <v/>
      </c>
    </row>
    <row r="23" ht="18" customHeight="1">
      <c r="A23" s="17" t="inlineStr">
        <is>
          <t>PROFIT MARGIN</t>
        </is>
      </c>
      <c r="B23" s="19">
        <f>IF(B13=0,0,B21/B13)</f>
        <v/>
      </c>
      <c r="C23" s="19">
        <f>IF(C13=0,0,C21/C13)</f>
        <v/>
      </c>
      <c r="D23" s="19">
        <f>IF(D13=0,0,D21/D13)</f>
        <v/>
      </c>
      <c r="E23" s="19">
        <f>IF(E13=0,0,E21/E13)</f>
        <v/>
      </c>
      <c r="F23" s="19">
        <f>IF(F13=0,0,F21/F13)</f>
        <v/>
      </c>
      <c r="G23" s="19">
        <f>IF(G13=0,0,G21/G13)</f>
        <v/>
      </c>
      <c r="H23" s="19">
        <f>IF(H13=0,0,H21/H13)</f>
        <v/>
      </c>
      <c r="I23" s="19">
        <f>IF(I13=0,0,I21/I13)</f>
        <v/>
      </c>
      <c r="J23" s="19">
        <f>IF(J13=0,0,J21/J13)</f>
        <v/>
      </c>
      <c r="K23" s="19">
        <f>IF(K13=0,0,K21/K13)</f>
        <v/>
      </c>
      <c r="L23" s="19">
        <f>IF(L13=0,0,L21/L13)</f>
        <v/>
      </c>
      <c r="M23" s="19">
        <f>IF(M13=0,0,M21/M13)</f>
        <v/>
      </c>
      <c r="N23" s="19">
        <f>IF(N13=0,0,N21/N13)</f>
        <v/>
      </c>
    </row>
    <row r="24" ht="14" customHeight="1">
      <c r="A24" s="20" t="inlineStr">
        <is>
          <t>Source: Internal projections, Alder &amp; Ash Digital business plan. Blue cells = inputs (editable). All calculations via Excel formulas.</t>
        </is>
      </c>
    </row>
  </sheetData>
  <mergeCells count="6">
    <mergeCell ref="A4:N4"/>
    <mergeCell ref="A20:N20"/>
    <mergeCell ref="A24:N24"/>
    <mergeCell ref="A2:N2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ALDER &amp; ASH DIGITAL — Annual Summary</t>
        </is>
      </c>
    </row>
    <row r="2">
      <c r="A2" s="2" t="n"/>
    </row>
    <row r="3" ht="20" customHeight="1">
      <c r="A3" s="4" t="inlineStr">
        <is>
          <t>Metric</t>
        </is>
      </c>
      <c r="B3" s="4" t="inlineStr">
        <is>
          <t>Year 1 (2026)</t>
        </is>
      </c>
      <c r="C3" s="4" t="inlineStr">
        <is>
          <t>Year 2 (2027)</t>
        </is>
      </c>
      <c r="D3" s="5" t="inlineStr">
        <is>
          <t>YoY Change</t>
        </is>
      </c>
    </row>
    <row r="4" ht="18" customHeight="1">
      <c r="A4" s="6" t="inlineStr">
        <is>
          <t>── REVENUE METRICS ──</t>
        </is>
      </c>
    </row>
    <row r="5" ht="18" customHeight="1">
      <c r="A5" s="7" t="inlineStr">
        <is>
          <t>Total Revenue ($)</t>
        </is>
      </c>
      <c r="B5" s="21">
        <f>'Monthly Projections'!N13</f>
        <v/>
      </c>
      <c r="C5" s="13" t="n">
        <v>185000</v>
      </c>
      <c r="D5" s="22">
        <f>IF(B5=0,0,(C5-B5)/B5)</f>
        <v/>
      </c>
    </row>
    <row r="6" ht="18" customHeight="1">
      <c r="A6" s="10" t="inlineStr">
        <is>
          <t>Total Expenses ($)</t>
        </is>
      </c>
      <c r="B6" s="23">
        <f>'Monthly Projections'!N19</f>
        <v/>
      </c>
      <c r="C6" s="16" t="n">
        <v>18000</v>
      </c>
      <c r="D6" s="24">
        <f>IF(B6=0,0,(C6-B6)/B6)</f>
        <v/>
      </c>
    </row>
    <row r="7" ht="18" customHeight="1">
      <c r="A7" s="17" t="inlineStr">
        <is>
          <t>Net Profit ($)</t>
        </is>
      </c>
      <c r="B7" s="12">
        <f>B5-B6</f>
        <v/>
      </c>
      <c r="C7" s="12">
        <f>C5-C6</f>
        <v/>
      </c>
      <c r="D7" s="25">
        <f>IF(B7=0,0,(C7-B7)/B7)</f>
        <v/>
      </c>
    </row>
    <row r="8" ht="18" customHeight="1">
      <c r="A8" s="17" t="inlineStr">
        <is>
          <t>Profit Margin (%)</t>
        </is>
      </c>
      <c r="B8" s="19">
        <f>IF(B5=0,0,B7/B5)</f>
        <v/>
      </c>
      <c r="C8" s="19">
        <f>IF(C5=0,0,C7/C5)</f>
        <v/>
      </c>
      <c r="D8" s="25">
        <f>IF(B8=0,0,C8-B8)</f>
        <v/>
      </c>
    </row>
    <row r="9" ht="18" customHeight="1">
      <c r="A9" s="6" t="inlineStr">
        <is>
          <t>── VOLUME METRICS ──</t>
        </is>
      </c>
    </row>
    <row r="10" ht="18" customHeight="1">
      <c r="A10" s="10" t="inlineStr">
        <is>
          <t>Projects Completed</t>
        </is>
      </c>
      <c r="B10" s="26">
        <f>'Monthly Projections'!N5</f>
        <v/>
      </c>
      <c r="C10" s="14" t="n">
        <v>42</v>
      </c>
      <c r="D10" s="24">
        <f>IF(B10=0,0,(C10-B10)/B10)</f>
        <v/>
      </c>
    </row>
    <row r="11" ht="18" customHeight="1">
      <c r="A11" s="7" t="inlineStr">
        <is>
          <t>Avg Projects/Month</t>
        </is>
      </c>
      <c r="B11" s="27">
        <f>'Monthly Projections'!N5/12</f>
        <v/>
      </c>
      <c r="C11" s="15" t="n">
        <v>3.5</v>
      </c>
      <c r="D11" s="22">
        <f>IF(B11=0,0,(C11-B11)/B11)</f>
        <v/>
      </c>
    </row>
    <row r="12" ht="18" customHeight="1">
      <c r="A12" s="10" t="inlineStr">
        <is>
          <t>End-of-Year Retainers</t>
        </is>
      </c>
      <c r="B12" s="26">
        <f>'Monthly Projections'!N9</f>
        <v/>
      </c>
      <c r="C12" s="14" t="n">
        <v>28</v>
      </c>
      <c r="D12" s="24">
        <f>IF(B12=0,0,(C12-B12)/B12)</f>
        <v/>
      </c>
    </row>
    <row r="13" ht="18" customHeight="1">
      <c r="A13" s="6" t="inlineStr">
        <is>
          <t>── MRR &amp; GROWTH ──</t>
        </is>
      </c>
    </row>
    <row r="14" ht="18" customHeight="1">
      <c r="A14" s="10" t="inlineStr">
        <is>
          <t>MRR from Retainers (Dec)</t>
        </is>
      </c>
      <c r="B14" s="23">
        <f>'Monthly Projections'!M11</f>
        <v/>
      </c>
      <c r="C14" s="16" t="n">
        <v>7000</v>
      </c>
      <c r="D14" s="24">
        <f>IF(B14=0,0,(C14-B14)/B14)</f>
        <v/>
      </c>
    </row>
    <row r="15" ht="18" customHeight="1">
      <c r="A15" s="17" t="inlineStr">
        <is>
          <t>Avg Monthly Revenue</t>
        </is>
      </c>
      <c r="B15" s="12">
        <f>B5/12</f>
        <v/>
      </c>
      <c r="C15" s="12">
        <f>C5/12</f>
        <v/>
      </c>
      <c r="D15" s="25">
        <f>IF(B15=0,0,(C15-B15)/B15)</f>
        <v/>
      </c>
    </row>
    <row r="16" ht="18" customHeight="1">
      <c r="A16" s="17" t="inlineStr">
        <is>
          <t>Avg Monthly Expenses</t>
        </is>
      </c>
      <c r="B16" s="12">
        <f>B6/12</f>
        <v/>
      </c>
      <c r="C16" s="12">
        <f>C6/12</f>
        <v/>
      </c>
      <c r="D16" s="25">
        <f>IF(B16=0,0,(C16-B16)/B16)</f>
        <v/>
      </c>
    </row>
    <row r="17" ht="18" customHeight="1">
      <c r="A17" s="6" t="inlineStr">
        <is>
          <t>── YEAR 2 ASSUMPTIONS ──</t>
        </is>
      </c>
    </row>
    <row r="18" ht="18" customHeight="1">
      <c r="A18" s="10" t="inlineStr">
        <is>
          <t>Target Sites/Month (avg)</t>
        </is>
      </c>
      <c r="B18" s="26" t="n"/>
      <c r="C18" s="28" t="n">
        <v>3.5</v>
      </c>
      <c r="D18" s="24">
        <f>IF(B18=0,0,(C18-B18)/B18)</f>
        <v/>
      </c>
    </row>
    <row r="19" ht="18" customHeight="1">
      <c r="A19" s="7" t="inlineStr">
        <is>
          <t>Target Retainers (EoY)</t>
        </is>
      </c>
      <c r="B19" s="27" t="n"/>
      <c r="C19" s="8" t="n">
        <v>28</v>
      </c>
      <c r="D19" s="22">
        <f>IF(B19=0,0,(C19-B19)/B19)</f>
        <v/>
      </c>
    </row>
    <row r="20" ht="18" customHeight="1">
      <c r="A20" s="10" t="inlineStr">
        <is>
          <t>Avg Project Value ($)</t>
        </is>
      </c>
      <c r="B20" s="23" t="n"/>
      <c r="C20" s="11" t="n">
        <v>4000</v>
      </c>
      <c r="D20" s="24">
        <f>IF(B20=0,0,(C20-B20)/B20)</f>
        <v/>
      </c>
    </row>
    <row r="21" ht="18" customHeight="1">
      <c r="A21" s="7" t="inlineStr">
        <is>
          <t>Retainer Rate ($/mo)</t>
        </is>
      </c>
      <c r="B21" s="21" t="n"/>
      <c r="C21" s="18" t="n">
        <v>275</v>
      </c>
      <c r="D21" s="22">
        <f>IF(B21=0,0,(C21-B21)/B21)</f>
        <v/>
      </c>
    </row>
    <row r="22" ht="14" customHeight="1">
      <c r="A22" s="20" t="inlineStr">
        <is>
          <t>Year 2 figures are management estimates. Blue cells = editable inputs. Green cells = linked from Monthly Projections sheet.</t>
        </is>
      </c>
    </row>
  </sheetData>
  <mergeCells count="7">
    <mergeCell ref="A1:D1"/>
    <mergeCell ref="A17:D17"/>
    <mergeCell ref="A9:D9"/>
    <mergeCell ref="A22:D22"/>
    <mergeCell ref="A4:D4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30" customWidth="1" min="4" max="4"/>
    <col width="20" customWidth="1" min="5" max="5"/>
  </cols>
  <sheetData>
    <row r="1" ht="30" customHeight="1">
      <c r="A1" s="1" t="inlineStr">
        <is>
          <t>ALDER &amp; ASH DIGITAL — Pricing Calculator</t>
        </is>
      </c>
    </row>
    <row r="2">
      <c r="A2" s="2" t="n"/>
    </row>
    <row r="3">
      <c r="A3" s="4" t="inlineStr">
        <is>
          <t>INPUTS — Edit Blue Cells</t>
        </is>
      </c>
      <c r="B3" s="29" t="n"/>
    </row>
    <row r="4" ht="18" customHeight="1">
      <c r="A4" s="10" t="inlineStr">
        <is>
          <t>Project Price ($)</t>
        </is>
      </c>
      <c r="B4" s="30" t="n">
        <v>5000</v>
      </c>
    </row>
    <row r="5" ht="18" customHeight="1">
      <c r="A5" s="7" t="inlineStr">
        <is>
          <t>Retainer Price ($/mo)</t>
        </is>
      </c>
      <c r="B5" s="30" t="n">
        <v>250</v>
      </c>
    </row>
    <row r="6" ht="18" customHeight="1">
      <c r="A6" s="10" t="inlineStr">
        <is>
          <t>Projects per Month</t>
        </is>
      </c>
      <c r="B6" s="31" t="n">
        <v>2</v>
      </c>
    </row>
    <row r="7" ht="18" customHeight="1">
      <c r="A7" s="7" t="inlineStr">
        <is>
          <t>Client Retention Rate (%)</t>
        </is>
      </c>
      <c r="B7" s="32" t="n">
        <v>0.75</v>
      </c>
    </row>
    <row r="8" ht="18" customHeight="1">
      <c r="A8" s="10" t="inlineStr">
        <is>
          <t>Add-On % of Project Rev</t>
        </is>
      </c>
      <c r="B8" s="32" t="n">
        <v>0.3</v>
      </c>
    </row>
    <row r="9" ht="18" customHeight="1">
      <c r="A9" s="7" t="inlineStr">
        <is>
          <t>Monthly Fixed Expenses ($)</t>
        </is>
      </c>
      <c r="B9" s="30" t="n">
        <v>750</v>
      </c>
    </row>
    <row r="11">
      <c r="A11" s="5" t="inlineStr">
        <is>
          <t>PROJECTED OUTPUTS</t>
        </is>
      </c>
      <c r="B11" s="33" t="n"/>
    </row>
    <row r="12">
      <c r="A12" s="34" t="inlineStr">
        <is>
          <t>Monthly Breakdown</t>
        </is>
      </c>
      <c r="B12" s="29" t="n"/>
    </row>
    <row r="13" ht="18" customHeight="1">
      <c r="A13" s="7" t="inlineStr">
        <is>
          <t>Monthly Project Revenue</t>
        </is>
      </c>
      <c r="B13" s="13">
        <f>B6*B4</f>
        <v/>
      </c>
    </row>
    <row r="14" ht="18" customHeight="1">
      <c r="A14" s="10" t="inlineStr">
        <is>
          <t>Monthly Retainer Revenue</t>
        </is>
      </c>
      <c r="B14" s="16">
        <f>B6*B7*B5</f>
        <v/>
      </c>
    </row>
    <row r="15" ht="18" customHeight="1">
      <c r="A15" s="7" t="inlineStr">
        <is>
          <t>Monthly Add-On Revenue</t>
        </is>
      </c>
      <c r="B15" s="13">
        <f>B13*B8</f>
        <v/>
      </c>
    </row>
    <row r="16" ht="18" customHeight="1">
      <c r="A16" s="17" t="inlineStr">
        <is>
          <t>Total Monthly Revenue</t>
        </is>
      </c>
      <c r="B16" s="12">
        <f>B13+B14+B15</f>
        <v/>
      </c>
    </row>
    <row r="17" ht="18" customHeight="1">
      <c r="A17" s="7" t="inlineStr">
        <is>
          <t>Total Monthly Expenses</t>
        </is>
      </c>
      <c r="B17" s="13">
        <f>B9</f>
        <v/>
      </c>
    </row>
    <row r="18" ht="18" customHeight="1">
      <c r="A18" s="17" t="inlineStr">
        <is>
          <t>Monthly Net Profit</t>
        </is>
      </c>
      <c r="B18" s="12">
        <f>B16-B17</f>
        <v/>
      </c>
    </row>
    <row r="19" ht="18" customHeight="1">
      <c r="A19" s="17" t="inlineStr">
        <is>
          <t>Monthly Profit Margin</t>
        </is>
      </c>
      <c r="B19" s="19">
        <f>IF(B16=0,0,B18/B16)</f>
        <v/>
      </c>
    </row>
    <row r="21">
      <c r="A21" s="34" t="inlineStr">
        <is>
          <t>Annual Projection</t>
        </is>
      </c>
      <c r="B21" s="29" t="n"/>
    </row>
    <row r="22" ht="18" customHeight="1">
      <c r="A22" s="10" t="inlineStr">
        <is>
          <t>Annual Project Revenue</t>
        </is>
      </c>
      <c r="B22" s="16">
        <f>B13*12</f>
        <v/>
      </c>
    </row>
    <row r="23" ht="18" customHeight="1">
      <c r="A23" s="7" t="inlineStr">
        <is>
          <t>Annual Retainer Revenue</t>
        </is>
      </c>
      <c r="B23" s="13">
        <f>B14*12</f>
        <v/>
      </c>
    </row>
    <row r="24" ht="18" customHeight="1">
      <c r="A24" s="10" t="inlineStr">
        <is>
          <t>Annual Add-On Revenue</t>
        </is>
      </c>
      <c r="B24" s="16">
        <f>B15*12</f>
        <v/>
      </c>
    </row>
    <row r="25" ht="18" customHeight="1">
      <c r="A25" s="17" t="inlineStr">
        <is>
          <t>Total Annual Revenue</t>
        </is>
      </c>
      <c r="B25" s="12">
        <f>B16*12</f>
        <v/>
      </c>
    </row>
    <row r="26" ht="18" customHeight="1">
      <c r="A26" s="10" t="inlineStr">
        <is>
          <t>Total Annual Expenses</t>
        </is>
      </c>
      <c r="B26" s="16">
        <f>B17*12</f>
        <v/>
      </c>
    </row>
    <row r="27" ht="18" customHeight="1">
      <c r="A27" s="17" t="inlineStr">
        <is>
          <t>Annual Net Profit</t>
        </is>
      </c>
      <c r="B27" s="12">
        <f>B25-B26</f>
        <v/>
      </c>
    </row>
    <row r="28" ht="18" customHeight="1">
      <c r="A28" s="17" t="inlineStr">
        <is>
          <t>Annual Profit Margin</t>
        </is>
      </c>
      <c r="B28" s="19">
        <f>IF(B25=0,0,B27/B25)</f>
        <v/>
      </c>
    </row>
    <row r="30">
      <c r="A30" s="34" t="inlineStr">
        <is>
          <t>Break-Even Analysis</t>
        </is>
      </c>
      <c r="B30" s="29" t="n"/>
    </row>
    <row r="31" ht="18" customHeight="1">
      <c r="A31" s="7" t="inlineStr">
        <is>
          <t>Monthly Fixed Costs</t>
        </is>
      </c>
      <c r="B31" s="13">
        <f>B9</f>
        <v/>
      </c>
    </row>
    <row r="32" ht="18" customHeight="1">
      <c r="A32" s="10" t="inlineStr">
        <is>
          <t>Revenue per Project</t>
        </is>
      </c>
      <c r="B32" s="16">
        <f>B4*(1+B8)</f>
        <v/>
      </c>
    </row>
    <row r="33" ht="18" customHeight="1">
      <c r="A33" s="35" t="inlineStr">
        <is>
          <t>Break-Even Projects/Month</t>
        </is>
      </c>
      <c r="B33" s="36">
        <f>IF(B32=0,0,B31/B32)</f>
        <v/>
      </c>
    </row>
    <row r="34" ht="18" customHeight="1">
      <c r="A34" s="10" t="inlineStr">
        <is>
          <t>Break-Even Revenue/Month</t>
        </is>
      </c>
      <c r="B34" s="16">
        <f>B31</f>
        <v/>
      </c>
    </row>
    <row r="35" ht="18" customHeight="1">
      <c r="A35" s="35" t="inlineStr">
        <is>
          <t>Safety Margin</t>
        </is>
      </c>
      <c r="B35" s="37">
        <f>IF(B16=0,0,(B16-B31)/B16)</f>
        <v/>
      </c>
    </row>
    <row r="37" ht="14" customHeight="1">
      <c r="A37" s="20" t="inlineStr">
        <is>
          <t>Blue cells = inputs. Green cells = break-even outputs. All outputs recalculate automatically when inputs change.</t>
        </is>
      </c>
    </row>
  </sheetData>
  <mergeCells count="8">
    <mergeCell ref="A21:B21"/>
    <mergeCell ref="A30:B30"/>
    <mergeCell ref="A2:E2"/>
    <mergeCell ref="A11:B11"/>
    <mergeCell ref="A1:E1"/>
    <mergeCell ref="A37:E37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2026-03-26T00:26:10Z</dcterms:created>
  <dcterms:modified xsi:type="dcterms:W3CDTF">2026-03-26T00:26:10Z</dcterms:modified>
</cp:coreProperties>
</file>